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filterPrivacy="1" defaultThemeVersion="124226"/>
  <xr:revisionPtr revIDLastSave="0" documentId="8_{BA03CB58-FBCC-430D-90C3-7F9C215D32E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tilla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Plantilla!$D$64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G48" i="1" l="1"/>
  <c r="G49" i="1"/>
  <c r="G50" i="1"/>
  <c r="G51" i="1"/>
  <c r="G52" i="1"/>
  <c r="G53" i="1"/>
  <c r="G54" i="1"/>
  <c r="G30" i="1"/>
  <c r="G31" i="1"/>
  <c r="G32" i="1"/>
  <c r="G33" i="1"/>
  <c r="G34" i="1"/>
  <c r="G35" i="1"/>
  <c r="G36" i="1"/>
  <c r="G37" i="1"/>
  <c r="G38" i="1"/>
  <c r="G39" i="1"/>
  <c r="G40" i="1"/>
  <c r="G41" i="1"/>
  <c r="G47" i="1"/>
  <c r="C73" i="1"/>
  <c r="G57" i="1"/>
  <c r="D64" i="1" s="1"/>
  <c r="E9" i="1"/>
  <c r="G9" i="1" s="1"/>
  <c r="C64" i="1" l="1"/>
  <c r="C74" i="1"/>
  <c r="F21" i="1" l="1"/>
  <c r="E21" i="1"/>
  <c r="F20" i="1"/>
  <c r="E20" i="1"/>
  <c r="F19" i="1"/>
  <c r="E19" i="1"/>
  <c r="E17" i="1" l="1"/>
  <c r="E16" i="1"/>
  <c r="F17" i="1" l="1"/>
  <c r="F16" i="1"/>
  <c r="E18" i="1"/>
  <c r="F18" i="1" l="1"/>
  <c r="F22" i="1" s="1"/>
  <c r="E10" i="1"/>
  <c r="E11" i="1"/>
  <c r="E8" i="1"/>
  <c r="G8" i="1" l="1"/>
  <c r="G10" i="1"/>
  <c r="G11" i="1"/>
  <c r="G29" i="1"/>
  <c r="G55" i="1" l="1"/>
  <c r="G56" i="1" s="1"/>
  <c r="G12" i="1"/>
  <c r="F25" i="1" s="1"/>
  <c r="G42" i="1"/>
  <c r="G43" i="1" s="1"/>
  <c r="G60" i="1" l="1"/>
  <c r="C66" i="1" l="1"/>
  <c r="C67" i="1" s="1"/>
  <c r="B66" i="1"/>
  <c r="B67" i="1" s="1"/>
  <c r="D66" i="1"/>
  <c r="D67" i="1" s="1"/>
  <c r="F73" i="1" l="1"/>
  <c r="F72" i="1"/>
  <c r="F74" i="1"/>
  <c r="D79" i="1" s="1"/>
  <c r="E72" i="1"/>
  <c r="E73" i="1"/>
  <c r="E74" i="1"/>
  <c r="C79" i="1" s="1"/>
  <c r="D73" i="1"/>
  <c r="D72" i="1"/>
  <c r="D74" i="1"/>
  <c r="B7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7" authorId="0" shapeId="0" xr:uid="{00000000-0006-0000-0100-000001000000}">
      <text>
        <r>
          <rPr>
            <sz val="11"/>
            <color indexed="81"/>
            <rFont val="Tahoma"/>
            <family val="2"/>
          </rPr>
          <t xml:space="preserve">Complejo: =3
  - Operador a través de Interfaz Gráfica de Usuario (GUI)
Intermedio: -&gt; 2 
  - Otro sistema a través de un protocolo (TCP/IP, HTTP, SOAP)
  - Operador humano a través de interfaz de comandos de texto (CLI)
Simple: -&gt; 1
  - Otro sistema a través de una Interfaz de Programación de Aplicaciones (API)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 </t>
        </r>
      </text>
    </comment>
    <comment ref="C15" authorId="0" shapeId="0" xr:uid="{DA0B57EF-75B3-476B-8E1C-6600543C8A0D}">
      <text>
        <r>
          <rPr>
            <sz val="11"/>
            <color indexed="81"/>
            <rFont val="Tahoma"/>
            <family val="2"/>
          </rPr>
          <t>Ejemplo: 
contar transacciones
Flujo.Ppal.: transacciones 1, 2, 3, 4. 
Flujo Alt.: 0 transaccioines. 
Excepciones.: N/A -&gt; 0 transacciones
-&gt; suma = 4 transacciones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 shapeId="0" xr:uid="{AB240814-347F-47ED-895B-BD0872401112}">
      <text>
        <r>
          <rPr>
            <sz val="9"/>
            <color indexed="81"/>
            <rFont val="Tahoma"/>
            <family val="2"/>
          </rPr>
          <t xml:space="preserve">¿Arquitectura centralizada o distribuida?
</t>
        </r>
      </text>
    </comment>
    <comment ref="B30" authorId="0" shapeId="0" xr:uid="{BF26B2E3-8482-4E03-908A-ED587B7B2236}">
      <text>
        <r>
          <rPr>
            <sz val="9"/>
            <color indexed="81"/>
            <rFont val="Tahoma"/>
            <family val="2"/>
          </rPr>
          <t xml:space="preserve">¿Cuál es la importancia del tiempo de respuesta de la aplicación para el usuario final?
</t>
        </r>
      </text>
    </comment>
    <comment ref="B31" authorId="0" shapeId="0" xr:uid="{4E589F49-59E1-4D67-96B8-A200CA5BA296}">
      <text>
        <r>
          <rPr>
            <sz val="11"/>
            <color indexed="81"/>
            <rFont val="Tahoma"/>
            <family val="2"/>
          </rPr>
          <t>¿La aplicacion está diseñada para que el usuario incremente SU eficiencia (no solo cumpla su cometido)?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7937C79F-E23B-417E-8257-49527E2A38D6}">
      <text>
        <r>
          <rPr>
            <sz val="11"/>
            <color indexed="81"/>
            <rFont val="Tahoma"/>
            <family val="2"/>
          </rPr>
          <t xml:space="preserve">¿La aplicación requiere de algoritmos complejos?
</t>
        </r>
      </text>
    </comment>
    <comment ref="B33" authorId="0" shapeId="0" xr:uid="{7688BF1C-03BA-4343-A695-9177872ED2B4}">
      <text>
        <r>
          <rPr>
            <sz val="9"/>
            <color indexed="81"/>
            <rFont val="Tahoma"/>
            <family val="2"/>
          </rPr>
          <t xml:space="preserve">¿La aplicación requiere diseñarse para ser altamente reusable?
</t>
        </r>
      </text>
    </comment>
    <comment ref="B34" authorId="0" shapeId="0" xr:uid="{6DFC0762-78D3-4DB7-9D3F-A2F2F8428FC7}">
      <text>
        <r>
          <rPr>
            <sz val="9"/>
            <color indexed="81"/>
            <rFont val="Tahoma"/>
            <family val="2"/>
          </rPr>
          <t xml:space="preserve">¿La aplicación debe ser de fácil instalación (para usuarios sin capacidad técnica) o no?
</t>
        </r>
      </text>
    </comment>
    <comment ref="B35" authorId="0" shapeId="0" xr:uid="{80B15AE9-264B-4F71-9BEC-F81F6F961B09}">
      <text>
        <r>
          <rPr>
            <sz val="9"/>
            <color indexed="81"/>
            <rFont val="Tahoma"/>
            <family val="2"/>
          </rPr>
          <t xml:space="preserve">¿Hay requerimientos especiales respecto de la facilidad de uso?
</t>
        </r>
      </text>
    </comment>
    <comment ref="B36" authorId="0" shapeId="0" xr:uid="{58647AE4-AAF0-4A46-A082-99288F0D616C}">
      <text>
        <r>
          <rPr>
            <sz val="9"/>
            <color indexed="81"/>
            <rFont val="Tahoma"/>
            <family val="2"/>
          </rPr>
          <t xml:space="preserve">¿La aplicación, debe funcionar en más de una plataforma?
</t>
        </r>
      </text>
    </comment>
    <comment ref="B37" authorId="0" shapeId="0" xr:uid="{1BC41D02-0AE4-4E4E-A6C6-8F6F4D6A7D0D}">
      <text>
        <r>
          <rPr>
            <sz val="9"/>
            <color indexed="81"/>
            <rFont val="Tahoma"/>
            <family val="2"/>
          </rPr>
          <t xml:space="preserve">¿El cliente requiere que la aplicación se pueda cambiar fácilmente en el futuro?
</t>
        </r>
      </text>
    </comment>
    <comment ref="B38" authorId="0" shapeId="0" xr:uid="{2E47CBEC-4E87-4F86-B8CA-B613EF744B71}">
      <text>
        <r>
          <rPr>
            <sz val="11"/>
            <color indexed="81"/>
            <rFont val="Tahoma"/>
            <family val="2"/>
          </rPr>
          <t>¿Hace falta consideraciones especiales para el acceso concurrente (paralelo) a datos y otros recursos?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9" authorId="0" shapeId="0" xr:uid="{FB379BBB-0BA4-4EE9-9946-D10164831F39}">
      <text>
        <r>
          <rPr>
            <sz val="9"/>
            <color indexed="81"/>
            <rFont val="Tahoma"/>
            <family val="2"/>
          </rPr>
          <t xml:space="preserve">¿Es suficiente con las prestaciones de seguridad normales, o hace falta algo especial?
</t>
        </r>
      </text>
    </comment>
    <comment ref="B40" authorId="0" shapeId="0" xr:uid="{F82E4379-DFB9-4D6B-B905-988941776421}">
      <text>
        <r>
          <rPr>
            <sz val="11"/>
            <color indexed="81"/>
            <rFont val="Tahoma"/>
            <family val="2"/>
          </rPr>
          <t xml:space="preserve">¿Nuestro código usará componentes COTS, librerías frameworks ya desarrollados? Si así fuera, reducirá la carga de trabajo de desarrollo.
</t>
        </r>
      </text>
    </comment>
    <comment ref="B41" authorId="0" shapeId="0" xr:uid="{A0562955-FB93-42BA-B7E5-EF5F3B6EEF77}">
      <text>
        <r>
          <rPr>
            <sz val="9"/>
            <color indexed="81"/>
            <rFont val="Tahoma"/>
            <family val="2"/>
          </rPr>
          <t xml:space="preserve">¿Se requiere formación específica para los Usuarios?
</t>
        </r>
      </text>
    </comment>
    <comment ref="B47" authorId="0" shapeId="0" xr:uid="{F533DF6A-BEB3-4CCF-AB7B-54B7CFF98EC8}">
      <text>
        <r>
          <rPr>
            <sz val="9"/>
            <color indexed="81"/>
            <rFont val="Tahoma"/>
            <family val="2"/>
          </rPr>
          <t xml:space="preserve">Debe reflejar el hecho de que el equipo conoce el proceso y el lenguaje de modelado (p.ej.: RUP, UML). Puede ser cualquier otro proceso.
</t>
        </r>
      </text>
    </comment>
    <comment ref="B48" authorId="0" shapeId="0" xr:uid="{289C274E-A575-43C3-B4EB-8BACD0AAAD25}">
      <text>
        <r>
          <rPr>
            <sz val="9"/>
            <color indexed="81"/>
            <rFont val="Tahoma"/>
            <family val="2"/>
          </rPr>
          <t xml:space="preserve">¿Ya trabajado el equipo en el area (dominio) de la aplicación?
</t>
        </r>
      </text>
    </comment>
    <comment ref="B49" authorId="0" shapeId="0" xr:uid="{3802D062-0D0E-4DD7-8532-6F50178C9173}">
      <text>
        <r>
          <rPr>
            <sz val="9"/>
            <color indexed="81"/>
            <rFont val="Tahoma"/>
            <family val="2"/>
          </rPr>
          <t>Se refiere exclusivamente a la experiencia en el análisis, modelado, diseño y progrmación  mediante el paradigma de OO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0" authorId="0" shapeId="0" xr:uid="{856E54A9-D1DB-4FCA-A67A-B844BAB0D627}">
      <text>
        <r>
          <rPr>
            <sz val="9"/>
            <color indexed="81"/>
            <rFont val="Tahoma"/>
            <family val="2"/>
          </rPr>
          <t xml:space="preserve">Se refiere a la experiencia en el análisis de requerimientos y modelado orientado a objetos del Analista Principal.
</t>
        </r>
      </text>
    </comment>
    <comment ref="B51" authorId="0" shapeId="0" xr:uid="{E4D9FB0C-0A4E-444B-86C2-33A9DAC0A4D3}">
      <text>
        <r>
          <rPr>
            <sz val="9"/>
            <color indexed="81"/>
            <rFont val="Tahoma"/>
            <family val="2"/>
          </rPr>
          <t xml:space="preserve">Motivación del equipo.
</t>
        </r>
      </text>
    </comment>
    <comment ref="B52" authorId="0" shapeId="0" xr:uid="{89F65DCE-281A-49CA-8013-6F16B539FEED}">
      <text>
        <r>
          <rPr>
            <sz val="9"/>
            <color indexed="81"/>
            <rFont val="Tahoma"/>
            <family val="2"/>
          </rPr>
          <t xml:space="preserve">Evalúa si los analistas han sido capaces de mantener estables los requerimientos en el pasado, minimizando los cambios del software.
</t>
        </r>
      </text>
    </comment>
    <comment ref="B53" authorId="0" shapeId="0" xr:uid="{53C97C33-4754-447B-8693-0C41380A2BBC}">
      <text>
        <r>
          <rPr>
            <sz val="9"/>
            <color indexed="81"/>
            <rFont val="Tahoma"/>
            <family val="2"/>
          </rPr>
          <t xml:space="preserve">Este es un factor con signo opuesto a los factores E6 y anteriores. Cuanto mayor la evaluación, peor el resultado.
</t>
        </r>
      </text>
    </comment>
    <comment ref="B54" authorId="0" shapeId="0" xr:uid="{5F295577-CDCE-40C4-83F3-575A66F2477D}">
      <text>
        <r>
          <rPr>
            <sz val="9"/>
            <color indexed="81"/>
            <rFont val="Tahoma"/>
            <family val="2"/>
          </rPr>
          <t xml:space="preserve">Este es un factor con signo opuesto a los factores E6 y anteriores. Cuanto mayor la evaluación, peor el resultado.
</t>
        </r>
      </text>
    </comment>
    <comment ref="G64" authorId="0" shapeId="0" xr:uid="{0AACDA40-F620-45E0-A6B2-F837D726B055}">
      <text>
        <r>
          <rPr>
            <sz val="11"/>
            <color indexed="81"/>
            <rFont val="Tahoma"/>
            <family val="2"/>
          </rPr>
          <t>Este valor lo debe rellenar el propio estimador mediante una medición pequeña que se use como muestra. 
Como valor orientativo
Java15 (07/2020), muy principiante, autodidacta -&gt;2.5hh/AUCP</t>
        </r>
        <r>
          <rPr>
            <sz val="9"/>
            <color indexed="81"/>
            <rFont val="Tahoma"/>
            <family val="2"/>
          </rPr>
          <t xml:space="preserve">
Es una Estadística que debe actualizarse proyecto a proyecto.</t>
        </r>
      </text>
    </comment>
    <comment ref="B70" authorId="0" shapeId="0" xr:uid="{E066BB39-5F26-4098-B4CA-9BCE5C01B129}">
      <text>
        <r>
          <rPr>
            <sz val="11"/>
            <color indexed="81"/>
            <rFont val="Tahoma"/>
            <family val="2"/>
          </rPr>
          <t>Esta distribución es una referencia. Proyecto a proyecto debe actualizarse mediante  ESTADISTICAS.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169AFAB7-075E-40E7-B101-DF441D70091C}">
      <text>
        <r>
          <rPr>
            <sz val="11"/>
            <color indexed="81"/>
            <rFont val="Tahoma"/>
            <family val="2"/>
          </rPr>
          <t>Análisis/Diseño/Pruebas/Sobrecarga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6" authorId="0" shapeId="0" xr:uid="{13EFE117-BE0D-49E4-A8DA-53439331C300}">
      <text>
        <r>
          <rPr>
            <sz val="11"/>
            <color indexed="81"/>
            <rFont val="Tahoma"/>
            <family val="2"/>
          </rPr>
          <t>Lo debe sugerir el estimador.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<sst xmlns="http://schemas.openxmlformats.org/spreadsheetml/2006/main" count="151" uniqueCount="109">
  <si>
    <t>Descripción</t>
  </si>
  <si>
    <t>Peso</t>
  </si>
  <si>
    <t>Valor ponderado</t>
  </si>
  <si>
    <t>Comentario</t>
  </si>
  <si>
    <t>Razón</t>
  </si>
  <si>
    <t>Factor de Peso Actores</t>
  </si>
  <si>
    <t>Factores de Peso Técnicos</t>
  </si>
  <si>
    <t>Escala de 0 a 5</t>
  </si>
  <si>
    <t>T1  Sistema Distribuido</t>
  </si>
  <si>
    <t>T2  Objetivos de Desempeño o Tiempo de Respuesta</t>
  </si>
  <si>
    <t>T4  Procesamiento Interno Complejo</t>
  </si>
  <si>
    <t>T5  Código Debe Ser Reusable</t>
  </si>
  <si>
    <t>T6  Facilidad de Instalación</t>
  </si>
  <si>
    <t>T7  Facilidad de Uso</t>
  </si>
  <si>
    <t>T8  Portabilidad</t>
  </si>
  <si>
    <t>T9  Facilidad de Cambio</t>
  </si>
  <si>
    <t>T10 Concurrencia</t>
  </si>
  <si>
    <t>T11 Incluye Características Especiales de Seguridad</t>
  </si>
  <si>
    <t>0=no importante  5=esencial</t>
  </si>
  <si>
    <t>Factores de Peso Ambientales del Equipo</t>
  </si>
  <si>
    <t>0 = sin experiencia, 3=media, 5=experto</t>
  </si>
  <si>
    <t>0=sin, 3=media, 5=alta</t>
  </si>
  <si>
    <t>0=extremadamente inestable, 5=no cambian</t>
  </si>
  <si>
    <t>Escala de asignación</t>
  </si>
  <si>
    <t>Actor</t>
  </si>
  <si>
    <t>Número actores</t>
  </si>
  <si>
    <t>Número de transacciones</t>
  </si>
  <si>
    <t>Casos de Uso</t>
  </si>
  <si>
    <t>Complejidad</t>
  </si>
  <si>
    <t>Características especiales</t>
  </si>
  <si>
    <t>Impacto</t>
  </si>
  <si>
    <t>Evaluación</t>
  </si>
  <si>
    <t>E1 Familiaridad con un Proceso Definido</t>
  </si>
  <si>
    <t>E2 Experiencia en el Dominio de Aplicación</t>
  </si>
  <si>
    <t>E3 Experiencia en Orientación a Objetos</t>
  </si>
  <si>
    <t>E5 Motivación</t>
  </si>
  <si>
    <t>E6 Requerimientos Estables</t>
  </si>
  <si>
    <t>E7 Miembros a Tiempo Parcial</t>
  </si>
  <si>
    <t>E8 Dificultad con el lenguaje de Programación</t>
  </si>
  <si>
    <t xml:space="preserve">Peso Total Actores, sin ajustar (UAW) </t>
  </si>
  <si>
    <t xml:space="preserve">Peso Total CU, sin ajustar (UUCW) </t>
  </si>
  <si>
    <t>0=todos miembros muy experimentados. 1= Mayoría +2años experiencia. 2. Todos +18 meses experiencia 3. Mayoría +18 meses experiencia 4. Pocos hasta 1 año experiencia 5. Ninguno experiencia</t>
  </si>
  <si>
    <t>Esfuerzo (h-h)</t>
  </si>
  <si>
    <t>Esfuerzo (mes-h)</t>
  </si>
  <si>
    <t>FPA desfavorables</t>
  </si>
  <si>
    <t>0=0% tiempo parcial, 1=h/10% t. parcial, 2=h/20% t. parcial, 3=h/40% t. parcial, 4=h/60% t. parcial, 5= más de 60% t. parcial</t>
  </si>
  <si>
    <t>CU2</t>
  </si>
  <si>
    <t>CU3</t>
  </si>
  <si>
    <t>CU4</t>
  </si>
  <si>
    <t>CU5</t>
  </si>
  <si>
    <t>CU6</t>
  </si>
  <si>
    <t>h-h/UCP: Velocidad propia</t>
  </si>
  <si>
    <t>1. PESO DE LOS ACTORES</t>
  </si>
  <si>
    <t>2. PESO DE LOS CU</t>
  </si>
  <si>
    <t>3. PCU SIN AJUSTE</t>
  </si>
  <si>
    <t>4. COMPLEJIDAD TECNICA</t>
  </si>
  <si>
    <t>6. PCU AJUSTADOS</t>
  </si>
  <si>
    <t>7. ESFUERZO CODIFICACION</t>
  </si>
  <si>
    <t>8. ESFUERZO TOTAL</t>
  </si>
  <si>
    <t>Actividad</t>
  </si>
  <si>
    <t>Porcentaje</t>
  </si>
  <si>
    <t>Codificación</t>
  </si>
  <si>
    <t>Karner
(m-h)</t>
  </si>
  <si>
    <t>Sch&amp;Win
(m-h)</t>
  </si>
  <si>
    <t>Propia
(m-h)</t>
  </si>
  <si>
    <t>9. NUMERO PERSONAS</t>
  </si>
  <si>
    <t>Karner
(m)</t>
  </si>
  <si>
    <t>Sch&amp;Win
(m)</t>
  </si>
  <si>
    <t>Propia
(m)</t>
  </si>
  <si>
    <t>h-h / AUCP: Karner</t>
  </si>
  <si>
    <t>h-h / AUCP: Schneider &amp; Winters</t>
  </si>
  <si>
    <t>h-h / AUCP: Estadística propia</t>
  </si>
  <si>
    <t>Simple</t>
  </si>
  <si>
    <t xml:space="preserve">CU1: </t>
  </si>
  <si>
    <t>Cajero</t>
  </si>
  <si>
    <t>Complejo</t>
  </si>
  <si>
    <t>Intermedio</t>
  </si>
  <si>
    <t>Distribución Esfuerzo por Tarea</t>
  </si>
  <si>
    <t>T3  Eficiencia Usuario Final</t>
  </si>
  <si>
    <t>FP: 4, FA:0, EX=0</t>
  </si>
  <si>
    <t>MiProyecto</t>
  </si>
  <si>
    <t>MiNombre</t>
  </si>
  <si>
    <t>Proyecto:</t>
  </si>
  <si>
    <t>Gestor de Proyecto:</t>
  </si>
  <si>
    <t xml:space="preserve">Factores Ambientales: EF = ∑ (Peso * Evaluacion ) </t>
  </si>
  <si>
    <r>
      <t xml:space="preserve">Factor de Complejidad Ambiental: </t>
    </r>
    <r>
      <rPr>
        <b/>
        <sz val="12"/>
        <color rgb="FFFF0000"/>
        <rFont val="Calibri"/>
        <family val="2"/>
        <scheme val="minor"/>
      </rPr>
      <t>ECF = 1.4 + (-0.03*EF)</t>
    </r>
  </si>
  <si>
    <r>
      <t xml:space="preserve">Factor de Complejidad Técnica:  </t>
    </r>
    <r>
      <rPr>
        <b/>
        <sz val="12"/>
        <color rgb="FFFF0000"/>
        <rFont val="Calibri"/>
        <family val="2"/>
        <scheme val="minor"/>
      </rPr>
      <t xml:space="preserve">TCF = 0,06 + 0,01*TC </t>
    </r>
  </si>
  <si>
    <r>
      <t xml:space="preserve">Puntos de CU No Ajustados: </t>
    </r>
    <r>
      <rPr>
        <b/>
        <sz val="12"/>
        <color rgb="FFFF0000"/>
        <rFont val="Calibri"/>
        <family val="2"/>
        <scheme val="minor"/>
      </rPr>
      <t>UUCP = UAW + UUCW</t>
    </r>
  </si>
  <si>
    <r>
      <t xml:space="preserve">Puntos de Casos de Uso Ajustados: AUCP = </t>
    </r>
    <r>
      <rPr>
        <b/>
        <sz val="12"/>
        <color rgb="FFFF0000"/>
        <rFont val="Calibri"/>
        <family val="2"/>
        <scheme val="minor"/>
      </rPr>
      <t>UUCP * TCF * ECF</t>
    </r>
  </si>
  <si>
    <t>ESTIMACIÓN por PUNTOS de CASO de USO</t>
  </si>
  <si>
    <t>Actividades restantes</t>
  </si>
  <si>
    <t>10. DURACION PROYECTO</t>
  </si>
  <si>
    <r>
      <t xml:space="preserve">Factores Técnicos: TF = </t>
    </r>
    <r>
      <rPr>
        <b/>
        <sz val="12"/>
        <rFont val="Calibri"/>
        <family val="2"/>
      </rPr>
      <t xml:space="preserve">∑ </t>
    </r>
    <r>
      <rPr>
        <b/>
        <sz val="12"/>
        <rFont val="Calibri"/>
        <family val="2"/>
        <scheme val="minor"/>
      </rPr>
      <t xml:space="preserve">(Peso * Evaluacion ) </t>
    </r>
  </si>
  <si>
    <t xml:space="preserve">BDD </t>
  </si>
  <si>
    <t>El operador que …</t>
  </si>
  <si>
    <t>BDD que …</t>
  </si>
  <si>
    <t>Programa externo integrado …</t>
  </si>
  <si>
    <t>Programa1</t>
  </si>
  <si>
    <t>Programa2</t>
  </si>
  <si>
    <t>Programa externo integrado … plug-in</t>
  </si>
  <si>
    <t>Object-Oriented Analysis and Design for Information Systems: Modeling with UML, OCL, and IFML</t>
  </si>
  <si>
    <t>Ver 4.2 Use Case Point Analysis e11</t>
  </si>
  <si>
    <t>¡Describir!</t>
  </si>
  <si>
    <t>T13 Necesidades de formación para los Usuarios</t>
  </si>
  <si>
    <t>T12 Acceso Directo a Código de Terceros</t>
  </si>
  <si>
    <t>Ver 4.2 Use Case Point Analysis e17</t>
  </si>
  <si>
    <t>5. FACTORES DEL ENTORNO</t>
  </si>
  <si>
    <t>E4 Capacidad de Liderazgo del  Analista Principal</t>
  </si>
  <si>
    <t>Esfuerzo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</si>
</sst>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9" x14ac:knownFonts="1">
    <font>
      <sz val="10"/>
      <name val="Arial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3F3F76"/>
      <name val="Calibri"/>
      <family val="2"/>
      <scheme val="minor"/>
    </font>
    <font>
      <sz val="11"/>
      <color indexed="81"/>
      <name val="Tahoma"/>
      <family val="2"/>
    </font>
    <font>
      <b/>
      <sz val="12"/>
      <color rgb="FFFF000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2"/>
      <name val="Calibri"/>
      <family val="2"/>
    </font>
    <font>
      <b/>
      <sz val="16"/>
      <name val="Calibri"/>
      <family val="2"/>
      <scheme val="minor"/>
    </font>
    <font>
      <sz val="16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3" applyNumberFormat="0" applyProtection="0">
      <alignment vertical="top"/>
    </xf>
    <xf numFmtId="0" fontId="3" fillId="5" borderId="4" applyNumberFormat="0" applyAlignment="0" applyProtection="0"/>
    <xf numFmtId="0" fontId="4" fillId="5" borderId="3" applyNumberFormat="0" applyAlignment="0" applyProtection="0"/>
    <xf numFmtId="0" fontId="18" fillId="0" borderId="0" applyNumberFormat="0" applyFill="0" applyBorder="0" applyAlignment="0" applyProtection="0"/>
  </cellStyleXfs>
  <cellXfs count="84">
    <xf numFmtId="0" fontId="0" fillId="0" borderId="0" xfId="0"/>
    <xf numFmtId="0" fontId="5" fillId="0" borderId="0" xfId="0" applyFont="1" applyAlignment="1" applyProtection="1">
      <alignment vertical="center" wrapText="1"/>
      <protection locked="0"/>
    </xf>
    <xf numFmtId="0" fontId="7" fillId="2" borderId="1" xfId="1" applyFont="1" applyBorder="1" applyAlignment="1" applyProtection="1">
      <alignment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7" fillId="2" borderId="1" xfId="1" applyFont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7" fillId="2" borderId="1" xfId="1" applyFont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7" fillId="2" borderId="2" xfId="1" applyFont="1" applyBorder="1" applyAlignment="1" applyProtection="1">
      <alignment vertical="center"/>
      <protection locked="0"/>
    </xf>
    <xf numFmtId="164" fontId="7" fillId="2" borderId="1" xfId="1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vertical="center" wrapText="1"/>
      <protection locked="0"/>
    </xf>
    <xf numFmtId="9" fontId="11" fillId="2" borderId="1" xfId="1" applyNumberFormat="1" applyFont="1" applyBorder="1" applyAlignment="1" applyProtection="1">
      <alignment horizontal="center" vertical="center" wrapText="1"/>
      <protection locked="0"/>
    </xf>
    <xf numFmtId="2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49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1" xfId="1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49" fontId="6" fillId="0" borderId="0" xfId="0" applyNumberFormat="1" applyFont="1" applyAlignment="1" applyProtection="1">
      <alignment horizontal="right" vertical="center" wrapText="1"/>
      <protection locked="0"/>
    </xf>
    <xf numFmtId="0" fontId="5" fillId="0" borderId="0" xfId="0" applyFont="1" applyAlignment="1" applyProtection="1">
      <alignment horizontal="right" vertical="center" wrapText="1"/>
      <protection locked="0"/>
    </xf>
    <xf numFmtId="0" fontId="9" fillId="0" borderId="0" xfId="2" applyFont="1" applyFill="1" applyBorder="1" applyAlignment="1" applyProtection="1">
      <alignment horizontal="center" vertical="center" wrapText="1"/>
      <protection locked="0"/>
    </xf>
    <xf numFmtId="49" fontId="6" fillId="0" borderId="0" xfId="0" applyNumberFormat="1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horizontal="right" vertical="center" wrapText="1"/>
      <protection locked="0"/>
    </xf>
    <xf numFmtId="49" fontId="6" fillId="0" borderId="0" xfId="0" applyNumberFormat="1" applyFont="1" applyAlignment="1" applyProtection="1">
      <alignment vertical="center"/>
      <protection locked="0"/>
    </xf>
    <xf numFmtId="0" fontId="7" fillId="2" borderId="1" xfId="1" applyFont="1" applyBorder="1" applyAlignment="1" applyProtection="1">
      <alignment horizontal="center" vertical="center"/>
      <protection locked="0"/>
    </xf>
    <xf numFmtId="0" fontId="7" fillId="2" borderId="2" xfId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vertical="center" wrapText="1"/>
      <protection locked="0"/>
    </xf>
    <xf numFmtId="49" fontId="5" fillId="0" borderId="0" xfId="0" applyNumberFormat="1" applyFont="1" applyAlignment="1" applyProtection="1">
      <alignment vertical="center" wrapText="1"/>
      <protection locked="0"/>
    </xf>
    <xf numFmtId="0" fontId="6" fillId="3" borderId="1" xfId="0" applyFont="1" applyFill="1" applyBorder="1" applyAlignment="1" applyProtection="1">
      <alignment vertical="center" wrapText="1"/>
      <protection locked="0"/>
    </xf>
    <xf numFmtId="49" fontId="5" fillId="0" borderId="1" xfId="0" applyNumberFormat="1" applyFont="1" applyBorder="1" applyAlignment="1" applyProtection="1">
      <alignment vertical="center" wrapText="1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49" fontId="6" fillId="0" borderId="5" xfId="0" applyNumberFormat="1" applyFont="1" applyBorder="1" applyAlignment="1" applyProtection="1">
      <alignment horizontal="right" vertical="center" wrapText="1"/>
      <protection locked="0"/>
    </xf>
    <xf numFmtId="0" fontId="5" fillId="0" borderId="6" xfId="0" applyFont="1" applyBorder="1" applyAlignment="1" applyProtection="1">
      <alignment horizontal="right" vertical="center" wrapText="1"/>
      <protection locked="0"/>
    </xf>
    <xf numFmtId="49" fontId="5" fillId="0" borderId="6" xfId="0" applyNumberFormat="1" applyFont="1" applyBorder="1" applyAlignment="1" applyProtection="1">
      <alignment vertical="center" wrapText="1"/>
      <protection locked="0"/>
    </xf>
    <xf numFmtId="164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0" xfId="0" applyFont="1" applyFill="1" applyAlignment="1" applyProtection="1">
      <alignment vertical="center" wrapText="1"/>
      <protection locked="0"/>
    </xf>
    <xf numFmtId="0" fontId="5" fillId="0" borderId="5" xfId="0" applyFont="1" applyBorder="1" applyAlignment="1" applyProtection="1">
      <alignment vertical="center"/>
      <protection locked="0"/>
    </xf>
    <xf numFmtId="0" fontId="5" fillId="0" borderId="5" xfId="0" applyFont="1" applyBorder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0" fontId="5" fillId="3" borderId="1" xfId="0" applyFont="1" applyFill="1" applyBorder="1" applyAlignment="1" applyProtection="1">
      <alignment horizontal="left" vertical="center" wrapText="1" indent="1"/>
      <protection locked="0"/>
    </xf>
    <xf numFmtId="0" fontId="5" fillId="3" borderId="1" xfId="0" applyFont="1" applyFill="1" applyBorder="1" applyAlignment="1" applyProtection="1">
      <alignment vertical="center" wrapText="1"/>
      <protection locked="0"/>
    </xf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2" fontId="5" fillId="0" borderId="0" xfId="0" applyNumberFormat="1" applyFont="1" applyAlignment="1" applyProtection="1">
      <alignment horizontal="right" vertical="center" wrapText="1"/>
      <protection locked="0"/>
    </xf>
    <xf numFmtId="0" fontId="8" fillId="5" borderId="1" xfId="3" applyFont="1" applyBorder="1" applyAlignment="1" applyProtection="1">
      <alignment horizontal="center" vertical="center" wrapText="1"/>
    </xf>
    <xf numFmtId="0" fontId="9" fillId="5" borderId="1" xfId="2" applyFont="1" applyBorder="1" applyAlignment="1" applyProtection="1">
      <alignment horizontal="center" vertical="center" wrapText="1"/>
    </xf>
    <xf numFmtId="0" fontId="9" fillId="5" borderId="8" xfId="2" applyFont="1" applyBorder="1" applyAlignment="1" applyProtection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5" borderId="1" xfId="3" applyBorder="1" applyAlignment="1" applyProtection="1">
      <alignment horizontal="center" vertical="center" wrapText="1"/>
    </xf>
    <xf numFmtId="164" fontId="6" fillId="3" borderId="1" xfId="0" applyNumberFormat="1" applyFont="1" applyFill="1" applyBorder="1" applyAlignment="1">
      <alignment horizontal="center" vertical="center" wrapText="1"/>
    </xf>
    <xf numFmtId="164" fontId="6" fillId="3" borderId="1" xfId="0" applyNumberFormat="1" applyFont="1" applyFill="1" applyBorder="1" applyAlignment="1">
      <alignment horizontal="center" vertical="center"/>
    </xf>
    <xf numFmtId="164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9" fontId="11" fillId="2" borderId="1" xfId="1" applyNumberFormat="1" applyFont="1" applyBorder="1" applyAlignment="1" applyProtection="1">
      <alignment horizontal="center" vertical="center" wrapText="1"/>
    </xf>
    <xf numFmtId="165" fontId="6" fillId="3" borderId="1" xfId="0" applyNumberFormat="1" applyFont="1" applyFill="1" applyBorder="1" applyAlignment="1">
      <alignment horizontal="center" vertical="center"/>
    </xf>
    <xf numFmtId="0" fontId="6" fillId="0" borderId="9" xfId="0" applyFont="1" applyBorder="1" applyAlignment="1" applyProtection="1">
      <alignment horizontal="left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left" vertical="center"/>
      <protection locked="0"/>
    </xf>
    <xf numFmtId="0" fontId="5" fillId="0" borderId="12" xfId="0" applyFont="1" applyBorder="1" applyAlignment="1" applyProtection="1">
      <alignment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6" xfId="0" applyFont="1" applyBorder="1" applyAlignment="1" applyProtection="1">
      <alignment horizontal="right" vertical="center"/>
      <protection locked="0"/>
    </xf>
    <xf numFmtId="49" fontId="7" fillId="2" borderId="1" xfId="1" applyNumberFormat="1" applyFont="1" applyBorder="1" applyAlignment="1" applyProtection="1">
      <alignment horizontal="left" vertical="center"/>
      <protection locked="0"/>
    </xf>
    <xf numFmtId="0" fontId="18" fillId="0" borderId="0" xfId="4" applyAlignment="1" applyProtection="1">
      <alignment vertical="top" wrapTex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49" fontId="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49" fontId="6" fillId="0" borderId="5" xfId="0" applyNumberFormat="1" applyFont="1" applyBorder="1" applyAlignment="1" applyProtection="1">
      <alignment horizontal="right" vertical="center" wrapText="1"/>
      <protection locked="0"/>
    </xf>
    <xf numFmtId="0" fontId="5" fillId="0" borderId="6" xfId="0" applyFont="1" applyBorder="1" applyAlignment="1" applyProtection="1">
      <alignment horizontal="right" vertical="center" wrapText="1"/>
      <protection locked="0"/>
    </xf>
    <xf numFmtId="0" fontId="5" fillId="0" borderId="7" xfId="0" applyFont="1" applyBorder="1" applyAlignment="1" applyProtection="1">
      <alignment horizontal="right" vertical="center" wrapText="1"/>
      <protection locked="0"/>
    </xf>
    <xf numFmtId="0" fontId="6" fillId="0" borderId="1" xfId="0" applyFont="1" applyBorder="1" applyAlignment="1" applyProtection="1">
      <alignment horizontal="right" vertical="center" wrapText="1"/>
      <protection locked="0"/>
    </xf>
    <xf numFmtId="49" fontId="6" fillId="0" borderId="1" xfId="0" applyNumberFormat="1" applyFont="1" applyBorder="1" applyAlignment="1" applyProtection="1">
      <alignment horizontal="right" vertical="center" wrapText="1"/>
      <protection locked="0"/>
    </xf>
    <xf numFmtId="0" fontId="5" fillId="0" borderId="1" xfId="0" applyFont="1" applyBorder="1" applyAlignment="1" applyProtection="1">
      <alignment horizontal="right" vertical="center" wrapText="1"/>
      <protection locked="0"/>
    </xf>
    <xf numFmtId="49" fontId="6" fillId="0" borderId="2" xfId="0" applyNumberFormat="1" applyFont="1" applyBorder="1" applyAlignment="1" applyProtection="1">
      <alignment horizontal="right" vertical="center" wrapText="1"/>
      <protection locked="0"/>
    </xf>
    <xf numFmtId="0" fontId="5" fillId="0" borderId="2" xfId="0" applyFont="1" applyBorder="1" applyAlignment="1" applyProtection="1">
      <alignment horizontal="right" vertical="center" wrapText="1"/>
      <protection locked="0"/>
    </xf>
  </cellXfs>
  <cellStyles count="5">
    <cellStyle name="Cálculo" xfId="3" builtinId="22"/>
    <cellStyle name="Entrada" xfId="1" builtinId="20" customBuiltin="1"/>
    <cellStyle name="Hipervínculo" xfId="4" builtinId="8"/>
    <cellStyle name="Normal" xfId="0" builtinId="0"/>
    <cellStyle name="Salida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612321</xdr:colOff>
      <xdr:row>62</xdr:row>
      <xdr:rowOff>449036</xdr:rowOff>
    </xdr:from>
    <xdr:to>
      <xdr:col>2</xdr:col>
      <xdr:colOff>421821</xdr:colOff>
      <xdr:row>71</xdr:row>
      <xdr:rowOff>81643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F8FBEE89-BB19-BE22-9EA2-CF25E188ECC0}"/>
            </a:ext>
          </a:extLst>
        </xdr:cNvPr>
        <xdr:cNvCxnSpPr/>
      </xdr:nvCxnSpPr>
      <xdr:spPr>
        <a:xfrm>
          <a:off x="612321" y="22016357"/>
          <a:ext cx="3810000" cy="24492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books.google.es/books?id=fCRCAgAAQBAJ&amp;pg=SL5-PA21&amp;lpg=SL5-PA21&amp;dq=e7+part-time+members&amp;source=bl&amp;ots=axt2kcgaRB&amp;sig=oTuGqYOrGRKLHV8dIJGh1OuVAS0&amp;hl=es&amp;sa=X&amp;ved=0ahUKEwj187-GzYvTAhWGj5AKHYP_AqcQ6AEIODAE" TargetMode="External"/><Relationship Id="rId1" Type="http://schemas.openxmlformats.org/officeDocument/2006/relationships/hyperlink" Target="https://books.google.es/books?id=fCRCAgAAQBAJ&amp;pg=SL5-PA21&amp;lpg=SL5-PA21&amp;dq=e7+part-time+members&amp;source=bl&amp;ots=axt2kcgaRB&amp;sig=oTuGqYOrGRKLHV8dIJGh1OuVAS0&amp;hl=es&amp;sa=X&amp;ved=0ahUKEwj187-GzYvTAhWGj5AKHYP_AqcQ6AEIODAE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T95"/>
  <sheetViews>
    <sheetView tabSelected="1" zoomScale="85" zoomScaleNormal="85" workbookViewId="0">
      <selection activeCell="B66" sqref="B66"/>
    </sheetView>
  </sheetViews>
  <sheetFormatPr baseColWidth="10" defaultColWidth="9.140625" defaultRowHeight="15.75" x14ac:dyDescent="0.2"/>
  <cols>
    <col min="1" max="1" width="27.7109375" style="1" bestFit="1" customWidth="1"/>
    <col min="2" max="2" width="32.140625" style="1" customWidth="1"/>
    <col min="3" max="3" width="33.42578125" style="1" customWidth="1"/>
    <col min="4" max="4" width="38.5703125" style="31" bestFit="1" customWidth="1"/>
    <col min="5" max="5" width="13.5703125" style="23" bestFit="1" customWidth="1"/>
    <col min="6" max="6" width="16.140625" style="1" bestFit="1" customWidth="1"/>
    <col min="7" max="7" width="16.7109375" style="1" bestFit="1" customWidth="1"/>
    <col min="8" max="8" width="34.42578125" style="1" customWidth="1"/>
    <col min="9" max="9" width="10.5703125" style="1" bestFit="1" customWidth="1"/>
    <col min="10" max="10" width="13.7109375" style="1" bestFit="1" customWidth="1"/>
    <col min="11" max="16384" width="9.140625" style="1"/>
  </cols>
  <sheetData>
    <row r="1" spans="1:20" ht="27.75" customHeight="1" x14ac:dyDescent="0.2"/>
    <row r="2" spans="1:20" s="13" customFormat="1" ht="27.75" customHeight="1" x14ac:dyDescent="0.2">
      <c r="B2" s="70" t="s">
        <v>89</v>
      </c>
      <c r="C2" s="71"/>
      <c r="D2" s="71"/>
      <c r="E2" s="71"/>
      <c r="F2" s="71"/>
      <c r="G2" s="72"/>
      <c r="H2" s="14"/>
    </row>
    <row r="3" spans="1:20" s="13" customFormat="1" ht="27.75" customHeight="1" x14ac:dyDescent="0.2">
      <c r="B3" s="61" t="s">
        <v>82</v>
      </c>
      <c r="C3" s="13" t="s">
        <v>80</v>
      </c>
      <c r="D3" s="15"/>
      <c r="E3" s="15"/>
      <c r="F3" s="15"/>
      <c r="G3" s="62"/>
      <c r="H3" s="15"/>
    </row>
    <row r="4" spans="1:20" s="13" customFormat="1" ht="27.75" customHeight="1" x14ac:dyDescent="0.2">
      <c r="B4" s="63" t="s">
        <v>83</v>
      </c>
      <c r="C4" s="64" t="s">
        <v>81</v>
      </c>
      <c r="D4" s="65"/>
      <c r="E4" s="65"/>
      <c r="F4" s="65"/>
      <c r="G4" s="66"/>
      <c r="H4" s="15"/>
    </row>
    <row r="5" spans="1:20" ht="27.75" customHeight="1" x14ac:dyDescent="0.2">
      <c r="B5" s="16"/>
      <c r="D5" s="17"/>
      <c r="E5" s="17"/>
      <c r="F5" s="17"/>
      <c r="G5" s="17"/>
      <c r="H5" s="17"/>
    </row>
    <row r="6" spans="1:20" ht="27.75" customHeight="1" x14ac:dyDescent="0.2"/>
    <row r="7" spans="1:20" s="3" customFormat="1" ht="31.5" x14ac:dyDescent="0.2">
      <c r="A7" s="3" t="s">
        <v>52</v>
      </c>
      <c r="B7" s="18" t="s">
        <v>24</v>
      </c>
      <c r="C7" s="19" t="s">
        <v>5</v>
      </c>
      <c r="D7" s="19" t="s">
        <v>0</v>
      </c>
      <c r="E7" s="18" t="s">
        <v>1</v>
      </c>
      <c r="F7" s="18" t="s">
        <v>25</v>
      </c>
      <c r="G7" s="18" t="s">
        <v>2</v>
      </c>
      <c r="H7" s="17"/>
    </row>
    <row r="8" spans="1:20" ht="27.75" customHeight="1" x14ac:dyDescent="0.2">
      <c r="B8" s="6" t="s">
        <v>74</v>
      </c>
      <c r="C8" s="20" t="s">
        <v>75</v>
      </c>
      <c r="D8" s="2" t="s">
        <v>94</v>
      </c>
      <c r="E8" s="50">
        <f>IF(C8="Simple",1,IF(C8="Intermedio",2,IF(C8="Complejo",3,"error")))</f>
        <v>3</v>
      </c>
      <c r="F8" s="4">
        <v>1</v>
      </c>
      <c r="G8" s="50">
        <f>E8*F8</f>
        <v>3</v>
      </c>
    </row>
    <row r="9" spans="1:20" ht="27.75" customHeight="1" x14ac:dyDescent="0.2">
      <c r="B9" s="6" t="s">
        <v>93</v>
      </c>
      <c r="C9" s="20" t="s">
        <v>76</v>
      </c>
      <c r="D9" s="2" t="s">
        <v>95</v>
      </c>
      <c r="E9" s="50">
        <f>IF(C9="Simple",1,IF(C9="Intermedio",2,IF(C9="Complejo",3,"error")))</f>
        <v>2</v>
      </c>
      <c r="F9" s="4">
        <v>2</v>
      </c>
      <c r="G9" s="50">
        <f>E9*F9</f>
        <v>4</v>
      </c>
    </row>
    <row r="10" spans="1:20" ht="27.75" customHeight="1" x14ac:dyDescent="0.2">
      <c r="B10" s="6" t="s">
        <v>97</v>
      </c>
      <c r="C10" s="20" t="s">
        <v>72</v>
      </c>
      <c r="D10" s="2" t="s">
        <v>99</v>
      </c>
      <c r="E10" s="50">
        <f>IF(C10="Simple",1,IF(C10="Intermedio",2,IF(C10="Complejo",3,"error")))</f>
        <v>1</v>
      </c>
      <c r="F10" s="4">
        <v>1</v>
      </c>
      <c r="G10" s="50">
        <f>E10*F10</f>
        <v>1</v>
      </c>
    </row>
    <row r="11" spans="1:20" ht="27.75" customHeight="1" x14ac:dyDescent="0.2">
      <c r="B11" s="6" t="s">
        <v>98</v>
      </c>
      <c r="C11" s="20" t="s">
        <v>72</v>
      </c>
      <c r="D11" s="2" t="s">
        <v>96</v>
      </c>
      <c r="E11" s="50">
        <f>IF(C11="Simple",1,IF(C11="Intermedio",2,IF(C11="Complejo",3,"error")))</f>
        <v>1</v>
      </c>
      <c r="F11" s="4">
        <v>1</v>
      </c>
      <c r="G11" s="50">
        <f>E11*F11</f>
        <v>1</v>
      </c>
    </row>
    <row r="12" spans="1:20" ht="27.75" customHeight="1" x14ac:dyDescent="0.2">
      <c r="B12" s="21"/>
      <c r="C12" s="80" t="s">
        <v>39</v>
      </c>
      <c r="D12" s="81"/>
      <c r="E12" s="81"/>
      <c r="F12" s="81"/>
      <c r="G12" s="51">
        <f>SUM(G8:G11)</f>
        <v>9</v>
      </c>
      <c r="H12" s="3"/>
    </row>
    <row r="13" spans="1:20" ht="27.75" customHeight="1" x14ac:dyDescent="0.2">
      <c r="B13" s="3"/>
      <c r="C13" s="22"/>
      <c r="D13" s="23"/>
      <c r="F13" s="23"/>
      <c r="G13" s="24"/>
      <c r="H13" s="3"/>
    </row>
    <row r="14" spans="1:20" ht="27.75" customHeight="1" x14ac:dyDescent="0.2">
      <c r="B14" s="3"/>
      <c r="C14" s="25"/>
      <c r="D14" s="25"/>
      <c r="E14" s="26"/>
      <c r="F14" s="3"/>
      <c r="G14" s="3"/>
      <c r="H14" s="3"/>
    </row>
    <row r="15" spans="1:20" ht="27.75" customHeight="1" x14ac:dyDescent="0.2">
      <c r="A15" s="3" t="s">
        <v>53</v>
      </c>
      <c r="B15" s="18" t="s">
        <v>27</v>
      </c>
      <c r="C15" s="18" t="s">
        <v>3</v>
      </c>
      <c r="D15" s="19" t="s">
        <v>26</v>
      </c>
      <c r="E15" s="19" t="s">
        <v>28</v>
      </c>
      <c r="F15" s="18" t="s">
        <v>1</v>
      </c>
      <c r="G15" s="17"/>
      <c r="H15" s="17"/>
      <c r="T15" s="27"/>
    </row>
    <row r="16" spans="1:20" ht="27.75" customHeight="1" x14ac:dyDescent="0.2">
      <c r="B16" s="6" t="s">
        <v>73</v>
      </c>
      <c r="C16" s="6" t="s">
        <v>79</v>
      </c>
      <c r="D16" s="28">
        <v>4</v>
      </c>
      <c r="E16" s="50" t="str">
        <f>IF($D16&gt;0,IF($D16&lt;=3,"Simple",IF(AND($D16&gt;3,$D16&lt;7),"Intermedio",IF($D16&gt;=7,"Complejo","error"))),"-")</f>
        <v>Intermedio</v>
      </c>
      <c r="F16" s="50">
        <f t="shared" ref="F16:F21" si="0">IF($D16&gt;0,IF($D16&lt;=3,5,IF(AND($D16&gt;3,$D16&lt;7),10,IF($D16&gt;=7,15,"error"))),0)</f>
        <v>10</v>
      </c>
      <c r="K16" s="27"/>
      <c r="T16" s="27"/>
    </row>
    <row r="17" spans="1:20" ht="27.75" customHeight="1" x14ac:dyDescent="0.2">
      <c r="B17" s="6" t="s">
        <v>46</v>
      </c>
      <c r="C17" s="6"/>
      <c r="D17" s="28">
        <v>1</v>
      </c>
      <c r="E17" s="50" t="str">
        <f t="shared" ref="E17:E21" si="1">IF($D17&gt;0,IF($D17&lt;=3,"Simple",IF(AND($D17&gt;3,$D17&lt;7),"Intermedio",IF($D17&gt;=7,"Complejo","error"))),"-")</f>
        <v>Simple</v>
      </c>
      <c r="F17" s="50">
        <f t="shared" si="0"/>
        <v>5</v>
      </c>
      <c r="K17" s="27"/>
      <c r="T17" s="27"/>
    </row>
    <row r="18" spans="1:20" ht="27.75" customHeight="1" x14ac:dyDescent="0.2">
      <c r="B18" s="6" t="s">
        <v>47</v>
      </c>
      <c r="C18" s="6"/>
      <c r="D18" s="28">
        <v>1</v>
      </c>
      <c r="E18" s="50" t="str">
        <f t="shared" si="1"/>
        <v>Simple</v>
      </c>
      <c r="F18" s="50">
        <f t="shared" si="0"/>
        <v>5</v>
      </c>
      <c r="K18" s="27"/>
      <c r="T18" s="27"/>
    </row>
    <row r="19" spans="1:20" ht="27.75" customHeight="1" x14ac:dyDescent="0.2">
      <c r="B19" s="6" t="s">
        <v>48</v>
      </c>
      <c r="C19" s="8"/>
      <c r="D19" s="29">
        <v>1</v>
      </c>
      <c r="E19" s="50" t="str">
        <f t="shared" si="1"/>
        <v>Simple</v>
      </c>
      <c r="F19" s="50">
        <f t="shared" si="0"/>
        <v>5</v>
      </c>
      <c r="K19" s="27"/>
      <c r="T19" s="27"/>
    </row>
    <row r="20" spans="1:20" ht="27.75" customHeight="1" x14ac:dyDescent="0.2">
      <c r="B20" s="6" t="s">
        <v>49</v>
      </c>
      <c r="C20" s="8"/>
      <c r="D20" s="29">
        <v>1</v>
      </c>
      <c r="E20" s="50" t="str">
        <f t="shared" si="1"/>
        <v>Simple</v>
      </c>
      <c r="F20" s="50">
        <f t="shared" si="0"/>
        <v>5</v>
      </c>
      <c r="K20" s="27"/>
      <c r="T20" s="27"/>
    </row>
    <row r="21" spans="1:20" ht="27.75" customHeight="1" x14ac:dyDescent="0.2">
      <c r="B21" s="6" t="s">
        <v>50</v>
      </c>
      <c r="C21" s="8"/>
      <c r="D21" s="29">
        <v>1</v>
      </c>
      <c r="E21" s="50" t="str">
        <f t="shared" si="1"/>
        <v>Simple</v>
      </c>
      <c r="F21" s="50">
        <f t="shared" si="0"/>
        <v>5</v>
      </c>
      <c r="K21" s="27"/>
      <c r="T21" s="27"/>
    </row>
    <row r="22" spans="1:20" ht="27.75" customHeight="1" x14ac:dyDescent="0.2">
      <c r="B22" s="30"/>
      <c r="C22" s="82" t="s">
        <v>40</v>
      </c>
      <c r="D22" s="83"/>
      <c r="E22" s="83"/>
      <c r="F22" s="52">
        <f>SUM(F16:F21)</f>
        <v>35</v>
      </c>
      <c r="H22" s="3"/>
      <c r="K22" s="27"/>
    </row>
    <row r="23" spans="1:20" ht="27.75" customHeight="1" x14ac:dyDescent="0.2"/>
    <row r="24" spans="1:20" ht="27.75" customHeight="1" x14ac:dyDescent="0.2"/>
    <row r="25" spans="1:20" ht="27.75" customHeight="1" x14ac:dyDescent="0.2">
      <c r="A25" s="3" t="s">
        <v>54</v>
      </c>
      <c r="B25" s="32"/>
      <c r="C25" s="80" t="s">
        <v>87</v>
      </c>
      <c r="D25" s="81"/>
      <c r="E25" s="81"/>
      <c r="F25" s="51">
        <f>G12+F22</f>
        <v>44</v>
      </c>
      <c r="H25" s="3"/>
    </row>
    <row r="26" spans="1:20" ht="27.75" customHeight="1" x14ac:dyDescent="0.2"/>
    <row r="27" spans="1:20" ht="27.75" customHeight="1" x14ac:dyDescent="0.2">
      <c r="B27" s="23"/>
    </row>
    <row r="28" spans="1:20" s="3" customFormat="1" ht="27.75" customHeight="1" x14ac:dyDescent="0.2">
      <c r="A28" s="3" t="s">
        <v>55</v>
      </c>
      <c r="B28" s="19" t="s">
        <v>6</v>
      </c>
      <c r="C28" s="19" t="s">
        <v>23</v>
      </c>
      <c r="D28" s="18" t="s">
        <v>29</v>
      </c>
      <c r="E28" s="18" t="s">
        <v>1</v>
      </c>
      <c r="F28" s="18" t="s">
        <v>31</v>
      </c>
      <c r="G28" s="18" t="s">
        <v>30</v>
      </c>
      <c r="H28" s="1" t="s">
        <v>101</v>
      </c>
    </row>
    <row r="29" spans="1:20" ht="27.75" customHeight="1" x14ac:dyDescent="0.2">
      <c r="B29" s="33" t="s">
        <v>8</v>
      </c>
      <c r="C29" s="33" t="s">
        <v>18</v>
      </c>
      <c r="D29" s="68" t="s">
        <v>102</v>
      </c>
      <c r="E29" s="34">
        <v>2</v>
      </c>
      <c r="F29" s="4">
        <v>3</v>
      </c>
      <c r="G29" s="53">
        <f t="shared" ref="G29:G41" si="2">E29*F29</f>
        <v>6</v>
      </c>
      <c r="H29" s="69" t="s">
        <v>100</v>
      </c>
    </row>
    <row r="30" spans="1:20" ht="31.5" x14ac:dyDescent="0.2">
      <c r="B30" s="33" t="s">
        <v>9</v>
      </c>
      <c r="C30" s="33" t="s">
        <v>18</v>
      </c>
      <c r="D30" s="68" t="s">
        <v>102</v>
      </c>
      <c r="E30" s="35">
        <v>2</v>
      </c>
      <c r="F30" s="4">
        <v>3</v>
      </c>
      <c r="G30" s="53">
        <f t="shared" si="2"/>
        <v>6</v>
      </c>
    </row>
    <row r="31" spans="1:20" ht="27.75" customHeight="1" x14ac:dyDescent="0.2">
      <c r="B31" s="33" t="s">
        <v>78</v>
      </c>
      <c r="C31" s="33" t="s">
        <v>18</v>
      </c>
      <c r="D31" s="68" t="s">
        <v>102</v>
      </c>
      <c r="E31" s="35">
        <v>1</v>
      </c>
      <c r="F31" s="4">
        <v>3</v>
      </c>
      <c r="G31" s="53">
        <f t="shared" si="2"/>
        <v>3</v>
      </c>
    </row>
    <row r="32" spans="1:20" ht="31.5" x14ac:dyDescent="0.2">
      <c r="B32" s="33" t="s">
        <v>10</v>
      </c>
      <c r="C32" s="33" t="s">
        <v>18</v>
      </c>
      <c r="D32" s="68" t="s">
        <v>102</v>
      </c>
      <c r="E32" s="35">
        <v>1</v>
      </c>
      <c r="F32" s="4">
        <v>3</v>
      </c>
      <c r="G32" s="53">
        <f t="shared" si="2"/>
        <v>3</v>
      </c>
    </row>
    <row r="33" spans="1:8" ht="27.75" customHeight="1" x14ac:dyDescent="0.2">
      <c r="B33" s="33" t="s">
        <v>11</v>
      </c>
      <c r="C33" s="33" t="s">
        <v>18</v>
      </c>
      <c r="D33" s="68" t="s">
        <v>102</v>
      </c>
      <c r="E33" s="34">
        <v>1</v>
      </c>
      <c r="F33" s="4">
        <v>3</v>
      </c>
      <c r="G33" s="53">
        <f t="shared" si="2"/>
        <v>3</v>
      </c>
    </row>
    <row r="34" spans="1:8" ht="27.75" customHeight="1" x14ac:dyDescent="0.2">
      <c r="B34" s="33" t="s">
        <v>12</v>
      </c>
      <c r="C34" s="33" t="s">
        <v>18</v>
      </c>
      <c r="D34" s="68" t="s">
        <v>102</v>
      </c>
      <c r="E34" s="34">
        <v>0.5</v>
      </c>
      <c r="F34" s="4">
        <v>3</v>
      </c>
      <c r="G34" s="53">
        <f t="shared" si="2"/>
        <v>1.5</v>
      </c>
    </row>
    <row r="35" spans="1:8" ht="27.75" customHeight="1" x14ac:dyDescent="0.2">
      <c r="B35" s="33" t="s">
        <v>13</v>
      </c>
      <c r="C35" s="33" t="s">
        <v>18</v>
      </c>
      <c r="D35" s="68" t="s">
        <v>102</v>
      </c>
      <c r="E35" s="34">
        <v>0.5</v>
      </c>
      <c r="F35" s="4">
        <v>3</v>
      </c>
      <c r="G35" s="53">
        <f t="shared" si="2"/>
        <v>1.5</v>
      </c>
    </row>
    <row r="36" spans="1:8" ht="27.75" customHeight="1" x14ac:dyDescent="0.2">
      <c r="B36" s="33" t="s">
        <v>14</v>
      </c>
      <c r="C36" s="33" t="s">
        <v>18</v>
      </c>
      <c r="D36" s="68" t="s">
        <v>102</v>
      </c>
      <c r="E36" s="34">
        <v>2</v>
      </c>
      <c r="F36" s="4">
        <v>3</v>
      </c>
      <c r="G36" s="53">
        <f t="shared" si="2"/>
        <v>6</v>
      </c>
    </row>
    <row r="37" spans="1:8" ht="27.75" customHeight="1" x14ac:dyDescent="0.2">
      <c r="B37" s="33" t="s">
        <v>15</v>
      </c>
      <c r="C37" s="33" t="s">
        <v>18</v>
      </c>
      <c r="D37" s="68" t="s">
        <v>102</v>
      </c>
      <c r="E37" s="34">
        <v>1</v>
      </c>
      <c r="F37" s="4">
        <v>3</v>
      </c>
      <c r="G37" s="53">
        <f t="shared" si="2"/>
        <v>3</v>
      </c>
    </row>
    <row r="38" spans="1:8" ht="27.75" customHeight="1" x14ac:dyDescent="0.2">
      <c r="B38" s="33" t="s">
        <v>16</v>
      </c>
      <c r="C38" s="33" t="s">
        <v>18</v>
      </c>
      <c r="D38" s="68" t="s">
        <v>102</v>
      </c>
      <c r="E38" s="34">
        <v>1</v>
      </c>
      <c r="F38" s="4">
        <v>3</v>
      </c>
      <c r="G38" s="53">
        <f t="shared" si="2"/>
        <v>3</v>
      </c>
    </row>
    <row r="39" spans="1:8" ht="31.5" x14ac:dyDescent="0.2">
      <c r="B39" s="33" t="s">
        <v>17</v>
      </c>
      <c r="C39" s="33" t="s">
        <v>18</v>
      </c>
      <c r="D39" s="68" t="s">
        <v>102</v>
      </c>
      <c r="E39" s="35">
        <v>1</v>
      </c>
      <c r="F39" s="4">
        <v>3</v>
      </c>
      <c r="G39" s="53">
        <f t="shared" si="2"/>
        <v>3</v>
      </c>
    </row>
    <row r="40" spans="1:8" ht="31.5" x14ac:dyDescent="0.2">
      <c r="B40" s="33" t="s">
        <v>104</v>
      </c>
      <c r="C40" s="33" t="s">
        <v>18</v>
      </c>
      <c r="D40" s="68" t="s">
        <v>102</v>
      </c>
      <c r="E40" s="35">
        <v>1</v>
      </c>
      <c r="F40" s="4">
        <v>3</v>
      </c>
      <c r="G40" s="53">
        <f t="shared" si="2"/>
        <v>3</v>
      </c>
    </row>
    <row r="41" spans="1:8" ht="31.5" x14ac:dyDescent="0.2">
      <c r="B41" s="33" t="s">
        <v>103</v>
      </c>
      <c r="C41" s="33" t="s">
        <v>18</v>
      </c>
      <c r="D41" s="68" t="s">
        <v>102</v>
      </c>
      <c r="E41" s="34">
        <v>1</v>
      </c>
      <c r="F41" s="4">
        <v>3</v>
      </c>
      <c r="G41" s="53">
        <f t="shared" si="2"/>
        <v>3</v>
      </c>
    </row>
    <row r="42" spans="1:8" ht="27.75" customHeight="1" x14ac:dyDescent="0.2">
      <c r="B42" s="76" t="s">
        <v>92</v>
      </c>
      <c r="C42" s="77"/>
      <c r="D42" s="77"/>
      <c r="E42" s="77"/>
      <c r="F42" s="78"/>
      <c r="G42" s="54">
        <f>SUM(G29:G41)</f>
        <v>45</v>
      </c>
    </row>
    <row r="43" spans="1:8" ht="27.75" customHeight="1" x14ac:dyDescent="0.2">
      <c r="B43" s="76" t="s">
        <v>86</v>
      </c>
      <c r="C43" s="77"/>
      <c r="D43" s="77"/>
      <c r="E43" s="77"/>
      <c r="F43" s="78"/>
      <c r="G43" s="52">
        <f>0.6+(0.01*G42)</f>
        <v>1.05</v>
      </c>
    </row>
    <row r="44" spans="1:8" ht="27.75" customHeight="1" x14ac:dyDescent="0.2">
      <c r="B44" s="22"/>
      <c r="C44" s="23"/>
      <c r="D44" s="23"/>
      <c r="F44" s="23"/>
    </row>
    <row r="45" spans="1:8" ht="27.75" customHeight="1" x14ac:dyDescent="0.2">
      <c r="B45" s="7"/>
      <c r="C45" s="7"/>
      <c r="D45" s="36"/>
      <c r="E45" s="7"/>
      <c r="F45" s="7"/>
      <c r="G45" s="7"/>
    </row>
    <row r="46" spans="1:8" s="3" customFormat="1" ht="31.5" x14ac:dyDescent="0.2">
      <c r="A46" s="3" t="s">
        <v>106</v>
      </c>
      <c r="B46" s="19" t="s">
        <v>19</v>
      </c>
      <c r="C46" s="19" t="s">
        <v>7</v>
      </c>
      <c r="D46" s="18" t="s">
        <v>4</v>
      </c>
      <c r="E46" s="18" t="s">
        <v>1</v>
      </c>
      <c r="F46" s="18" t="s">
        <v>31</v>
      </c>
      <c r="G46" s="18" t="s">
        <v>30</v>
      </c>
      <c r="H46" s="1" t="s">
        <v>105</v>
      </c>
    </row>
    <row r="47" spans="1:8" ht="38.25" x14ac:dyDescent="0.2">
      <c r="B47" s="37" t="s">
        <v>32</v>
      </c>
      <c r="C47" s="33" t="s">
        <v>20</v>
      </c>
      <c r="D47" s="68" t="s">
        <v>102</v>
      </c>
      <c r="E47" s="34">
        <v>1.5</v>
      </c>
      <c r="F47" s="4">
        <v>3</v>
      </c>
      <c r="G47" s="53">
        <f t="shared" ref="G47:G54" si="3">E47*F47</f>
        <v>4.5</v>
      </c>
      <c r="H47" s="69" t="s">
        <v>100</v>
      </c>
    </row>
    <row r="48" spans="1:8" ht="31.5" x14ac:dyDescent="0.2">
      <c r="B48" s="37" t="s">
        <v>33</v>
      </c>
      <c r="C48" s="33" t="s">
        <v>20</v>
      </c>
      <c r="D48" s="68" t="s">
        <v>102</v>
      </c>
      <c r="E48" s="34">
        <v>0.5</v>
      </c>
      <c r="F48" s="4">
        <v>3</v>
      </c>
      <c r="G48" s="53">
        <f t="shared" si="3"/>
        <v>1.5</v>
      </c>
    </row>
    <row r="49" spans="1:7" ht="31.5" x14ac:dyDescent="0.2">
      <c r="B49" s="37" t="s">
        <v>34</v>
      </c>
      <c r="C49" s="33" t="s">
        <v>20</v>
      </c>
      <c r="D49" s="68" t="s">
        <v>102</v>
      </c>
      <c r="E49" s="34">
        <v>1</v>
      </c>
      <c r="F49" s="4">
        <v>3</v>
      </c>
      <c r="G49" s="53">
        <f t="shared" si="3"/>
        <v>3</v>
      </c>
    </row>
    <row r="50" spans="1:7" ht="31.5" x14ac:dyDescent="0.2">
      <c r="B50" s="37" t="s">
        <v>107</v>
      </c>
      <c r="C50" s="33" t="s">
        <v>20</v>
      </c>
      <c r="D50" s="68" t="s">
        <v>102</v>
      </c>
      <c r="E50" s="34">
        <v>0.5</v>
      </c>
      <c r="F50" s="4">
        <v>3</v>
      </c>
      <c r="G50" s="53">
        <f t="shared" si="3"/>
        <v>1.5</v>
      </c>
    </row>
    <row r="51" spans="1:7" ht="27.75" customHeight="1" x14ac:dyDescent="0.2">
      <c r="B51" s="37" t="s">
        <v>35</v>
      </c>
      <c r="C51" s="33" t="s">
        <v>21</v>
      </c>
      <c r="D51" s="68" t="s">
        <v>102</v>
      </c>
      <c r="E51" s="34">
        <v>1</v>
      </c>
      <c r="F51" s="4">
        <v>3</v>
      </c>
      <c r="G51" s="53">
        <f t="shared" si="3"/>
        <v>3</v>
      </c>
    </row>
    <row r="52" spans="1:7" ht="31.5" x14ac:dyDescent="0.2">
      <c r="B52" s="37" t="s">
        <v>36</v>
      </c>
      <c r="C52" s="33" t="s">
        <v>22</v>
      </c>
      <c r="D52" s="68" t="s">
        <v>102</v>
      </c>
      <c r="E52" s="34">
        <v>2</v>
      </c>
      <c r="F52" s="4">
        <v>3</v>
      </c>
      <c r="G52" s="53">
        <f t="shared" si="3"/>
        <v>6</v>
      </c>
    </row>
    <row r="53" spans="1:7" ht="63" x14ac:dyDescent="0.2">
      <c r="B53" s="37" t="s">
        <v>37</v>
      </c>
      <c r="C53" s="33" t="s">
        <v>45</v>
      </c>
      <c r="D53" s="68" t="s">
        <v>102</v>
      </c>
      <c r="E53" s="34">
        <v>-1</v>
      </c>
      <c r="F53" s="4">
        <v>3</v>
      </c>
      <c r="G53" s="53">
        <f t="shared" si="3"/>
        <v>-3</v>
      </c>
    </row>
    <row r="54" spans="1:7" ht="110.25" x14ac:dyDescent="0.2">
      <c r="B54" s="37" t="s">
        <v>38</v>
      </c>
      <c r="C54" s="33" t="s">
        <v>41</v>
      </c>
      <c r="D54" s="68" t="s">
        <v>102</v>
      </c>
      <c r="E54" s="34">
        <v>-1</v>
      </c>
      <c r="F54" s="4">
        <v>3</v>
      </c>
      <c r="G54" s="53">
        <f t="shared" si="3"/>
        <v>-3</v>
      </c>
    </row>
    <row r="55" spans="1:7" ht="27.75" customHeight="1" x14ac:dyDescent="0.2">
      <c r="B55" s="76" t="s">
        <v>84</v>
      </c>
      <c r="C55" s="77"/>
      <c r="D55" s="77"/>
      <c r="E55" s="77"/>
      <c r="F55" s="78"/>
      <c r="G55" s="5">
        <f>SUM(G47:G54)</f>
        <v>13.5</v>
      </c>
    </row>
    <row r="56" spans="1:7" ht="27.75" customHeight="1" x14ac:dyDescent="0.2">
      <c r="B56" s="76" t="s">
        <v>85</v>
      </c>
      <c r="C56" s="77"/>
      <c r="D56" s="77"/>
      <c r="E56" s="77"/>
      <c r="F56" s="78"/>
      <c r="G56" s="5">
        <f>1.4 + (-0.03*G55)</f>
        <v>0.99499999999999988</v>
      </c>
    </row>
    <row r="57" spans="1:7" ht="27.75" customHeight="1" x14ac:dyDescent="0.2">
      <c r="B57" s="38"/>
      <c r="C57" s="39"/>
      <c r="D57" s="40"/>
      <c r="E57" s="39"/>
      <c r="F57" s="67" t="s">
        <v>44</v>
      </c>
      <c r="G57" s="5">
        <f>COUNTIF($F$47:$F$52,"&lt;3")+COUNTIF($F$53:$F$54,"&gt;3")</f>
        <v>0</v>
      </c>
    </row>
    <row r="58" spans="1:7" ht="27.75" customHeight="1" x14ac:dyDescent="0.2">
      <c r="B58" s="22"/>
      <c r="C58" s="23"/>
      <c r="D58" s="23"/>
      <c r="F58" s="23"/>
    </row>
    <row r="59" spans="1:7" ht="27.75" customHeight="1" x14ac:dyDescent="0.2"/>
    <row r="60" spans="1:7" ht="27.75" customHeight="1" x14ac:dyDescent="0.2">
      <c r="A60" s="3" t="s">
        <v>56</v>
      </c>
      <c r="B60" s="79" t="s">
        <v>88</v>
      </c>
      <c r="C60" s="79"/>
      <c r="D60" s="79"/>
      <c r="E60" s="79"/>
      <c r="F60" s="79"/>
      <c r="G60" s="55">
        <f>F25*G43*G56</f>
        <v>45.968999999999994</v>
      </c>
    </row>
    <row r="61" spans="1:7" ht="27.75" customHeight="1" x14ac:dyDescent="0.2"/>
    <row r="62" spans="1:7" ht="27.75" customHeight="1" x14ac:dyDescent="0.2"/>
    <row r="63" spans="1:7" ht="47.25" x14ac:dyDescent="0.2">
      <c r="A63" s="42" t="s">
        <v>57</v>
      </c>
      <c r="B63" s="19" t="s">
        <v>69</v>
      </c>
      <c r="C63" s="19" t="s">
        <v>70</v>
      </c>
      <c r="D63" s="19" t="s">
        <v>71</v>
      </c>
      <c r="G63" s="19" t="s">
        <v>51</v>
      </c>
    </row>
    <row r="64" spans="1:7" ht="27.75" customHeight="1" x14ac:dyDescent="0.2">
      <c r="B64" s="57">
        <v>20</v>
      </c>
      <c r="C64" s="57">
        <f>IF($G$57&gt;=5,36,IF(AND(G$57&gt;2,$G$57&lt;=4),28, IF(AND($G$57&gt;=0,$G$57&lt;=2),20,"error")))</f>
        <v>20</v>
      </c>
      <c r="D64" s="58">
        <f>IF($G$57&gt;=5,$G$64*(36/20),IF(AND($G$57&gt;2,$G$57&lt;=4),$G$64*(28/20), IF(AND($G$57&gt;=0,$G$57&lt;=2),$G$64,"error")))</f>
        <v>2.5</v>
      </c>
      <c r="G64" s="9">
        <v>2.5</v>
      </c>
    </row>
    <row r="65" spans="1:6" ht="27.75" customHeight="1" x14ac:dyDescent="0.2">
      <c r="B65" s="73" t="s">
        <v>108</v>
      </c>
      <c r="C65" s="74"/>
      <c r="D65" s="75"/>
    </row>
    <row r="66" spans="1:6" ht="27.75" customHeight="1" x14ac:dyDescent="0.2">
      <c r="A66" s="43" t="s">
        <v>42</v>
      </c>
      <c r="B66" s="57">
        <f>$G$60*B64</f>
        <v>919.37999999999988</v>
      </c>
      <c r="C66" s="57">
        <f t="shared" ref="C66:D66" si="4">$G$60*C64</f>
        <v>919.37999999999988</v>
      </c>
      <c r="D66" s="57">
        <f t="shared" si="4"/>
        <v>114.92249999999999</v>
      </c>
    </row>
    <row r="67" spans="1:6" ht="27.75" customHeight="1" x14ac:dyDescent="0.2">
      <c r="A67" s="43" t="s">
        <v>43</v>
      </c>
      <c r="B67" s="56">
        <f>B66/(22*8)</f>
        <v>5.223749999999999</v>
      </c>
      <c r="C67" s="56">
        <f>C66/(22*8)</f>
        <v>5.223749999999999</v>
      </c>
      <c r="D67" s="60">
        <f>D66/(22*8)</f>
        <v>0.65296874999999988</v>
      </c>
    </row>
    <row r="68" spans="1:6" ht="27.75" customHeight="1" x14ac:dyDescent="0.2"/>
    <row r="69" spans="1:6" ht="27.75" customHeight="1" x14ac:dyDescent="0.2">
      <c r="D69" s="1"/>
    </row>
    <row r="70" spans="1:6" ht="27.75" customHeight="1" x14ac:dyDescent="0.2">
      <c r="A70" s="3" t="s">
        <v>58</v>
      </c>
      <c r="B70" s="44" t="s">
        <v>77</v>
      </c>
      <c r="C70" s="45"/>
      <c r="D70" s="40"/>
      <c r="E70" s="39"/>
      <c r="F70" s="10"/>
    </row>
    <row r="71" spans="1:6" ht="27.75" customHeight="1" x14ac:dyDescent="0.2">
      <c r="B71" s="32" t="s">
        <v>59</v>
      </c>
      <c r="C71" s="18" t="s">
        <v>60</v>
      </c>
      <c r="D71" s="41" t="s">
        <v>62</v>
      </c>
      <c r="E71" s="41" t="s">
        <v>63</v>
      </c>
      <c r="F71" s="41" t="s">
        <v>64</v>
      </c>
    </row>
    <row r="72" spans="1:6" ht="27.75" customHeight="1" x14ac:dyDescent="0.2">
      <c r="B72" s="46" t="s">
        <v>61</v>
      </c>
      <c r="C72" s="11">
        <v>0.4</v>
      </c>
      <c r="D72" s="56">
        <f t="shared" ref="D72:F74" si="5">$C72/$C$72*B$67</f>
        <v>5.223749999999999</v>
      </c>
      <c r="E72" s="56">
        <f t="shared" si="5"/>
        <v>5.223749999999999</v>
      </c>
      <c r="F72" s="56">
        <f t="shared" si="5"/>
        <v>0.65296874999999988</v>
      </c>
    </row>
    <row r="73" spans="1:6" ht="27.75" customHeight="1" x14ac:dyDescent="0.2">
      <c r="B73" s="46" t="s">
        <v>90</v>
      </c>
      <c r="C73" s="59">
        <f>1-C72</f>
        <v>0.6</v>
      </c>
      <c r="D73" s="57">
        <f t="shared" si="5"/>
        <v>7.8356249999999976</v>
      </c>
      <c r="E73" s="57">
        <f t="shared" si="5"/>
        <v>7.8356249999999976</v>
      </c>
      <c r="F73" s="57">
        <f t="shared" si="5"/>
        <v>0.9794531249999997</v>
      </c>
    </row>
    <row r="74" spans="1:6" ht="27.75" customHeight="1" x14ac:dyDescent="0.2">
      <c r="B74" s="47"/>
      <c r="C74" s="11">
        <f>SUM(C72:C73)</f>
        <v>1</v>
      </c>
      <c r="D74" s="56">
        <f t="shared" si="5"/>
        <v>13.059374999999998</v>
      </c>
      <c r="E74" s="56">
        <f t="shared" si="5"/>
        <v>13.059374999999998</v>
      </c>
      <c r="F74" s="56">
        <f t="shared" si="5"/>
        <v>1.6324218749999997</v>
      </c>
    </row>
    <row r="75" spans="1:6" ht="27.75" customHeight="1" x14ac:dyDescent="0.2"/>
    <row r="76" spans="1:6" ht="27.75" customHeight="1" x14ac:dyDescent="0.2">
      <c r="A76" s="3" t="s">
        <v>65</v>
      </c>
      <c r="B76" s="4">
        <v>4</v>
      </c>
    </row>
    <row r="77" spans="1:6" ht="27.75" customHeight="1" x14ac:dyDescent="0.2"/>
    <row r="78" spans="1:6" ht="27.75" customHeight="1" x14ac:dyDescent="0.2">
      <c r="A78" s="3" t="s">
        <v>91</v>
      </c>
      <c r="B78" s="41" t="s">
        <v>66</v>
      </c>
      <c r="C78" s="41" t="s">
        <v>67</v>
      </c>
      <c r="D78" s="41" t="s">
        <v>68</v>
      </c>
    </row>
    <row r="79" spans="1:6" s="12" customFormat="1" ht="27.75" customHeight="1" x14ac:dyDescent="0.2">
      <c r="B79" s="48">
        <f>$D$74/$B$76</f>
        <v>3.2648437499999994</v>
      </c>
      <c r="C79" s="48">
        <f>$E$74/$B$76</f>
        <v>3.2648437499999994</v>
      </c>
      <c r="D79" s="48">
        <f>$F$74/$B$76</f>
        <v>0.40810546874999992</v>
      </c>
    </row>
    <row r="80" spans="1:6" s="12" customFormat="1" x14ac:dyDescent="0.2">
      <c r="E80" s="49"/>
    </row>
    <row r="81" spans="5:5" s="12" customFormat="1" x14ac:dyDescent="0.2">
      <c r="E81" s="49"/>
    </row>
    <row r="82" spans="5:5" s="12" customFormat="1" x14ac:dyDescent="0.2">
      <c r="E82" s="49"/>
    </row>
    <row r="83" spans="5:5" s="12" customFormat="1" x14ac:dyDescent="0.2">
      <c r="E83" s="49"/>
    </row>
    <row r="84" spans="5:5" s="12" customFormat="1" x14ac:dyDescent="0.2">
      <c r="E84" s="49"/>
    </row>
    <row r="85" spans="5:5" s="12" customFormat="1" x14ac:dyDescent="0.2">
      <c r="E85" s="49"/>
    </row>
    <row r="86" spans="5:5" s="12" customFormat="1" x14ac:dyDescent="0.2">
      <c r="E86" s="49"/>
    </row>
    <row r="87" spans="5:5" s="12" customFormat="1" x14ac:dyDescent="0.2">
      <c r="E87" s="49"/>
    </row>
    <row r="88" spans="5:5" s="12" customFormat="1" x14ac:dyDescent="0.2">
      <c r="E88" s="49"/>
    </row>
    <row r="89" spans="5:5" s="12" customFormat="1" x14ac:dyDescent="0.2">
      <c r="E89" s="49"/>
    </row>
    <row r="90" spans="5:5" s="12" customFormat="1" x14ac:dyDescent="0.2">
      <c r="E90" s="49"/>
    </row>
    <row r="91" spans="5:5" s="12" customFormat="1" x14ac:dyDescent="0.2">
      <c r="E91" s="49"/>
    </row>
    <row r="92" spans="5:5" s="12" customFormat="1" x14ac:dyDescent="0.2">
      <c r="E92" s="49"/>
    </row>
    <row r="93" spans="5:5" s="12" customFormat="1" x14ac:dyDescent="0.2">
      <c r="E93" s="49"/>
    </row>
    <row r="94" spans="5:5" s="12" customFormat="1" x14ac:dyDescent="0.2">
      <c r="E94" s="49"/>
    </row>
    <row r="95" spans="5:5" s="12" customFormat="1" x14ac:dyDescent="0.2">
      <c r="E95" s="49"/>
    </row>
  </sheetData>
  <mergeCells count="10">
    <mergeCell ref="B2:G2"/>
    <mergeCell ref="B65:D65"/>
    <mergeCell ref="B56:F56"/>
    <mergeCell ref="B55:F55"/>
    <mergeCell ref="B60:F60"/>
    <mergeCell ref="C12:F12"/>
    <mergeCell ref="C22:E22"/>
    <mergeCell ref="C25:E25"/>
    <mergeCell ref="B42:F42"/>
    <mergeCell ref="B43:F43"/>
  </mergeCells>
  <phoneticPr fontId="0" type="noConversion"/>
  <dataValidations disablePrompts="1" count="3">
    <dataValidation type="list" allowBlank="1" showInputMessage="1" showErrorMessage="1" sqref="C8:C11" xr:uid="{00000000-0002-0000-0100-000000000000}">
      <formula1>"Simple,Intermedio,Complejo"</formula1>
    </dataValidation>
    <dataValidation operator="equal" allowBlank="1" showErrorMessage="1" errorTitle="Error" error="Debe sumar 100%" promptTitle="Error" sqref="C74" xr:uid="{5C429EAE-FA4E-494E-BD3F-3F65E4E8B474}"/>
    <dataValidation type="whole" showInputMessage="1" showErrorMessage="1" error="Entre 1 y 9 personas." sqref="B76" xr:uid="{81ED1D34-570C-43B2-BC33-85A20A96BCE2}">
      <formula1>1</formula1>
      <formula2>9</formula2>
    </dataValidation>
  </dataValidations>
  <hyperlinks>
    <hyperlink ref="H29" r:id="rId1" location="v=onepage&amp;q=e7%20part-time%20members&amp;f=false" xr:uid="{FC0E1DD1-3813-4DD8-984C-AA5130DB4A18}"/>
    <hyperlink ref="H47" r:id="rId2" location="v=onepage&amp;q=e7%20part-time%20members&amp;f=false" xr:uid="{7A64C52D-ADF9-4B34-B337-AC9FA6D9CBE7}"/>
  </hyperlinks>
  <pageMargins left="0.75" right="0.75" top="1" bottom="1" header="0.5" footer="0.5"/>
  <pageSetup orientation="portrait" verticalDpi="300" r:id="rId3"/>
  <headerFooter alignWithMargins="0"/>
  <ignoredErrors>
    <ignoredError sqref="C74" unlockedFormula="1"/>
  </ignoredErrors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>v6 (2023/08/24). Agregados textos explicativos y pequeñas correcciones._x000d_
v5 (2022/09/05). Cambios en esfuerzo total (Punto 8)_x000d_
v4 (2021/09/16). Agregados comentarios, borrados nombres de celdas.</dc:description>
  <cp:lastModifiedBy/>
  <dcterms:created xsi:type="dcterms:W3CDTF">2021-09-16T15:20:38Z</dcterms:created>
  <dcterms:modified xsi:type="dcterms:W3CDTF">2023-08-24T14:33:02Z</dcterms:modified>
  <cp:category/>
</cp:coreProperties>
</file>